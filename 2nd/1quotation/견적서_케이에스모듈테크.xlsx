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견적서" sheetId="1" state="visible" r:id="rId1"/>
  </sheets>
  <definedNames>
    <definedName name="_xlnm.Print_Area" localSheetId="0">'견적서'!$A$1:$AV$43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맑은 고딕"/>
      <b val="1"/>
      <color rgb="00000000"/>
      <sz val="26"/>
    </font>
    <font>
      <name val="맑은 고딕"/>
      <color rgb="00000000"/>
      <sz val="10"/>
    </font>
    <font>
      <name val="맑은 고딕"/>
      <b val="1"/>
      <color rgb="00000000"/>
      <sz val="12"/>
    </font>
    <font>
      <name val="맑은 고딕"/>
      <color rgb="00000000"/>
      <sz val="9"/>
    </font>
    <font>
      <name val="맑은 고딕"/>
      <b val="1"/>
      <color rgb="00000000"/>
      <sz val="14"/>
    </font>
    <font>
      <name val="맑은 고딕"/>
      <b val="1"/>
      <color rgb="00000000"/>
      <sz val="9"/>
    </font>
    <font>
      <name val="맑은 고딕"/>
      <b val="1"/>
      <color rgb="00000000"/>
      <sz val="10"/>
    </font>
    <font>
      <name val="맑은 고딕"/>
      <color rgb="00000000"/>
      <sz val="8"/>
    </font>
  </fonts>
  <fills count="2">
    <fill>
      <patternFill/>
    </fill>
    <fill>
      <patternFill patternType="gray125"/>
    </fill>
  </fills>
  <borders count="21">
    <border>
      <left/>
      <right/>
      <top/>
      <bottom/>
      <diagonal/>
    </border>
    <border>
      <top style="medium"/>
    </border>
    <border>
      <bottom style="medium"/>
    </border>
    <border>
      <top style="medium"/>
      <bottom style="thin"/>
    </border>
    <border>
      <left style="medium"/>
      <top style="medium"/>
    </border>
    <border>
      <left style="medium"/>
    </border>
    <border>
      <left style="medium"/>
      <bottom style="medium"/>
    </border>
    <border>
      <left style="medium"/>
      <right style="thin"/>
      <top style="medium"/>
      <bottom style="medium"/>
    </border>
    <border>
      <left style="thin"/>
      <right style="thin"/>
      <top style="medium"/>
      <bottom style="thin"/>
    </border>
    <border>
      <left style="thin"/>
      <right style="medium"/>
      <top style="medium"/>
      <bottom style="thin"/>
    </border>
    <border>
      <left style="thin"/>
      <right style="thin"/>
      <top style="thin"/>
      <bottom style="thin"/>
    </border>
    <border>
      <left style="thin"/>
      <right style="medium"/>
      <top style="thin"/>
      <bottom style="thin"/>
    </border>
    <border>
      <left style="thin"/>
      <right style="thin"/>
      <top style="thin"/>
      <bottom style="medium"/>
    </border>
    <border>
      <left style="thin"/>
      <right style="medium"/>
      <top style="thin"/>
      <bottom style="medium"/>
    </border>
    <border>
      <left style="medium"/>
      <top style="medium"/>
      <bottom style="medium"/>
    </border>
    <border>
      <top style="medium"/>
      <bottom style="medium"/>
    </border>
    <border>
      <right style="medium"/>
      <top style="medium"/>
      <bottom style="medium"/>
    </border>
    <border>
      <left style="thin"/>
      <right style="thin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thin"/>
      <top style="thin"/>
      <bottom style="thin"/>
    </border>
    <border>
      <left style="medium"/>
      <right style="medium"/>
      <top style="thin"/>
      <bottom style="thin"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1" pivotButton="0" quotePrefix="0" xfId="0"/>
    <xf numFmtId="0" fontId="2" fillId="0" borderId="3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 wrapText="1"/>
    </xf>
    <xf numFmtId="0" fontId="4" fillId="0" borderId="8" applyAlignment="1" pivotButton="0" quotePrefix="0" xfId="0">
      <alignment horizontal="center" vertical="center"/>
    </xf>
    <xf numFmtId="0" fontId="4" fillId="0" borderId="8" applyAlignment="1" pivotButton="0" quotePrefix="0" xfId="0">
      <alignment horizontal="left" vertical="center"/>
    </xf>
    <xf numFmtId="0" fontId="4" fillId="0" borderId="9" applyAlignment="1" pivotButton="0" quotePrefix="0" xfId="0">
      <alignment horizontal="left" vertical="center"/>
    </xf>
    <xf numFmtId="0" fontId="0" fillId="0" borderId="5" pivotButton="0" quotePrefix="0" xfId="0"/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left" vertical="center"/>
    </xf>
    <xf numFmtId="0" fontId="4" fillId="0" borderId="1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4" fillId="0" borderId="11" applyAlignment="1" pivotButton="0" quotePrefix="0" xfId="0">
      <alignment horizontal="left" vertical="center" wrapText="1"/>
    </xf>
    <xf numFmtId="0" fontId="4" fillId="0" borderId="11" applyAlignment="1" pivotButton="0" quotePrefix="0" xfId="0">
      <alignment horizontal="left" vertical="center"/>
    </xf>
    <xf numFmtId="0" fontId="0" fillId="0" borderId="6" pivotButton="0" quotePrefix="0" xfId="0"/>
    <xf numFmtId="0" fontId="0" fillId="0" borderId="2" pivotButton="0" quotePrefix="0" xfId="0"/>
    <xf numFmtId="0" fontId="2" fillId="0" borderId="2" applyAlignment="1" pivotButton="0" quotePrefix="0" xfId="0">
      <alignment horizontal="left" vertical="center"/>
    </xf>
    <xf numFmtId="0" fontId="4" fillId="0" borderId="12" applyAlignment="1" pivotButton="0" quotePrefix="0" xfId="0">
      <alignment horizontal="center" vertical="center"/>
    </xf>
    <xf numFmtId="0" fontId="4" fillId="0" borderId="13" applyAlignment="1" pivotButton="0" quotePrefix="0" xfId="0">
      <alignment horizontal="left" vertical="center" wrapText="1"/>
    </xf>
    <xf numFmtId="0" fontId="4" fillId="0" borderId="14" applyAlignment="1" pivotButton="0" quotePrefix="0" xfId="0">
      <alignment horizontal="center" vertical="center"/>
    </xf>
    <xf numFmtId="0" fontId="4" fillId="0" borderId="15" applyAlignment="1" pivotButton="0" quotePrefix="0" xfId="0">
      <alignment horizontal="center" vertical="center"/>
    </xf>
    <xf numFmtId="3" fontId="5" fillId="0" borderId="15" applyAlignment="1" pivotButton="0" quotePrefix="0" xfId="0">
      <alignment horizontal="right" vertical="center"/>
    </xf>
    <xf numFmtId="0" fontId="0" fillId="0" borderId="15" pivotButton="0" quotePrefix="0" xfId="0"/>
    <xf numFmtId="3" fontId="4" fillId="0" borderId="15" applyAlignment="1" pivotButton="0" quotePrefix="0" xfId="0">
      <alignment horizontal="right" vertical="center"/>
    </xf>
    <xf numFmtId="0" fontId="4" fillId="0" borderId="16" applyAlignment="1" pivotButton="0" quotePrefix="0" xfId="0">
      <alignment horizontal="center" vertical="center"/>
    </xf>
    <xf numFmtId="0" fontId="6" fillId="0" borderId="7" applyAlignment="1" pivotButton="0" quotePrefix="0" xfId="0">
      <alignment horizontal="center" vertical="center"/>
    </xf>
    <xf numFmtId="0" fontId="6" fillId="0" borderId="17" applyAlignment="1" pivotButton="0" quotePrefix="0" xfId="0">
      <alignment horizontal="center" vertical="center"/>
    </xf>
    <xf numFmtId="0" fontId="6" fillId="0" borderId="18" applyAlignment="1" pivotButton="0" quotePrefix="0" xfId="0">
      <alignment horizontal="center" vertical="center"/>
    </xf>
    <xf numFmtId="0" fontId="4" fillId="0" borderId="19" applyAlignment="1" pivotButton="0" quotePrefix="0" xfId="0">
      <alignment horizontal="left" vertical="center"/>
    </xf>
    <xf numFmtId="3" fontId="4" fillId="0" borderId="10" applyAlignment="1" pivotButton="0" quotePrefix="0" xfId="0">
      <alignment horizontal="center" vertical="center"/>
    </xf>
    <xf numFmtId="3" fontId="4" fillId="0" borderId="10" applyAlignment="1" pivotButton="0" quotePrefix="0" xfId="0">
      <alignment horizontal="right" vertical="center"/>
    </xf>
    <xf numFmtId="3" fontId="4" fillId="0" borderId="20" applyAlignment="1" pivotButton="0" quotePrefix="0" xfId="0">
      <alignment horizontal="right" vertical="center"/>
    </xf>
    <xf numFmtId="0" fontId="7" fillId="0" borderId="7" applyAlignment="1" pivotButton="0" quotePrefix="0" xfId="0">
      <alignment horizontal="center" vertical="center"/>
    </xf>
    <xf numFmtId="0" fontId="7" fillId="0" borderId="17" pivotButton="0" quotePrefix="0" xfId="0"/>
    <xf numFmtId="3" fontId="7" fillId="0" borderId="18" applyAlignment="1" pivotButton="0" quotePrefix="0" xfId="0">
      <alignment horizontal="right" vertical="center"/>
    </xf>
    <xf numFmtId="0" fontId="8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V43"/>
  <sheetViews>
    <sheetView workbookViewId="0">
      <selection activeCell="A1" sqref="A1"/>
    </sheetView>
  </sheetViews>
  <sheetFormatPr baseColWidth="8" defaultRowHeight="15"/>
  <cols>
    <col width="2.1" customWidth="1" min="1" max="1"/>
    <col width="2.1" customWidth="1" min="2" max="2"/>
    <col width="2.1" customWidth="1" min="3" max="3"/>
    <col width="2.1" customWidth="1" min="4" max="4"/>
    <col width="2.1" customWidth="1" min="5" max="5"/>
    <col width="2.1" customWidth="1" min="6" max="6"/>
    <col width="2.1" customWidth="1" min="7" max="7"/>
    <col width="2.1" customWidth="1" min="8" max="8"/>
    <col width="2.1" customWidth="1" min="9" max="9"/>
    <col width="2.1" customWidth="1" min="10" max="10"/>
    <col width="2.1" customWidth="1" min="11" max="11"/>
    <col width="2.1" customWidth="1" min="12" max="12"/>
    <col width="2.1" customWidth="1" min="13" max="13"/>
    <col width="2.1" customWidth="1" min="14" max="14"/>
    <col width="2.1" customWidth="1" min="15" max="15"/>
    <col width="2.1" customWidth="1" min="16" max="16"/>
    <col width="2.1" customWidth="1" min="17" max="17"/>
    <col width="2.1" customWidth="1" min="18" max="18"/>
    <col width="2.1" customWidth="1" min="19" max="19"/>
    <col width="2.1" customWidth="1" min="20" max="20"/>
    <col width="2.1" customWidth="1" min="21" max="21"/>
    <col width="2.1" customWidth="1" min="22" max="22"/>
    <col width="2.1" customWidth="1" min="23" max="23"/>
    <col width="2.1" customWidth="1" min="24" max="24"/>
    <col width="2.1" customWidth="1" min="25" max="25"/>
    <col width="2.1" customWidth="1" min="26" max="26"/>
    <col width="2.1" customWidth="1" min="27" max="27"/>
    <col width="2.1" customWidth="1" min="28" max="28"/>
    <col width="2.1" customWidth="1" min="29" max="29"/>
    <col width="2.1" customWidth="1" min="30" max="30"/>
    <col width="2.1" customWidth="1" min="31" max="31"/>
    <col width="2.1" customWidth="1" min="32" max="32"/>
    <col width="2.1" customWidth="1" min="33" max="33"/>
    <col width="2.1" customWidth="1" min="34" max="34"/>
    <col width="2.1" customWidth="1" min="35" max="35"/>
    <col width="2.1" customWidth="1" min="36" max="36"/>
    <col width="2.1" customWidth="1" min="37" max="37"/>
    <col width="2.1" customWidth="1" min="38" max="38"/>
    <col width="2.1" customWidth="1" min="39" max="39"/>
    <col width="2.1" customWidth="1" min="40" max="40"/>
    <col width="2.1" customWidth="1" min="41" max="41"/>
    <col width="2.1" customWidth="1" min="42" max="42"/>
    <col width="2.1" customWidth="1" min="43" max="43"/>
    <col width="2.1" customWidth="1" min="44" max="44"/>
    <col width="2.1" customWidth="1" min="45" max="45"/>
    <col width="2.1" customWidth="1" min="46" max="46"/>
    <col width="2.1" customWidth="1" min="47" max="47"/>
    <col width="2.1" customWidth="1" min="48" max="48"/>
  </cols>
  <sheetData>
    <row r="1" ht="9.9" customHeight="1">
      <c r="P1" s="1" t="inlineStr">
        <is>
          <t>견  적  서</t>
        </is>
      </c>
    </row>
    <row r="2" ht="40.8" customHeight="1">
      <c r="C2" s="2" t="inlineStr">
        <is>
          <t>NO.</t>
        </is>
      </c>
      <c r="E2" s="3" t="inlineStr"/>
    </row>
    <row r="3" ht="9.9" customHeight="1"/>
    <row r="4" ht="9.9" customHeight="1"/>
    <row r="5" ht="24.9" customHeight="1">
      <c r="A5" s="4" t="n"/>
      <c r="B5" s="5" t="n"/>
      <c r="C5" s="6" t="inlineStr"/>
      <c r="F5" s="7" t="inlineStr">
        <is>
          <t>년</t>
        </is>
      </c>
      <c r="G5" s="6" t="inlineStr"/>
      <c r="J5" s="7" t="inlineStr">
        <is>
          <t>월</t>
        </is>
      </c>
      <c r="K5" s="6" t="inlineStr"/>
      <c r="N5" s="7" t="inlineStr">
        <is>
          <t>일</t>
        </is>
      </c>
      <c r="U5" s="8" t="inlineStr">
        <is>
          <t>공
급
자</t>
        </is>
      </c>
      <c r="W5" s="9" t="inlineStr">
        <is>
          <t>상  호  명</t>
        </is>
      </c>
      <c r="AD5" s="10" t="inlineStr">
        <is>
          <t>(주) 케이에스모듈테크</t>
        </is>
      </c>
      <c r="AK5" s="9" t="inlineStr">
        <is>
          <t>사업자번호</t>
        </is>
      </c>
      <c r="AN5" s="11" t="inlineStr">
        <is>
          <t>808-81-03318</t>
        </is>
      </c>
    </row>
    <row r="6" ht="24.9" customHeight="1">
      <c r="A6" s="12" t="n"/>
      <c r="W6" s="13" t="inlineStr">
        <is>
          <t>상호(대리점)</t>
        </is>
      </c>
      <c r="AD6" s="14" t="inlineStr"/>
      <c r="AK6" s="13" t="inlineStr">
        <is>
          <t>대    표</t>
        </is>
      </c>
      <c r="AN6" s="13" t="inlineStr">
        <is>
          <t>김 복 기</t>
        </is>
      </c>
      <c r="AV6" s="15" t="inlineStr">
        <is>
          <t>(인)</t>
        </is>
      </c>
    </row>
    <row r="7" ht="24.9" customHeight="1">
      <c r="A7" s="12" t="n"/>
      <c r="C7" s="16" t="inlineStr"/>
      <c r="Q7" s="17" t="inlineStr">
        <is>
          <t>귀  중</t>
        </is>
      </c>
      <c r="W7" s="13" t="inlineStr">
        <is>
          <t>주       소</t>
        </is>
      </c>
      <c r="AD7" s="18" t="inlineStr">
        <is>
          <t>부산시 금정구 부산대학로 63번길 2, 부산대학교 물리학과(장전동) 307호</t>
        </is>
      </c>
    </row>
    <row r="8" ht="24.9" customHeight="1">
      <c r="A8" s="12" t="n"/>
      <c r="W8" s="13" t="inlineStr">
        <is>
          <t>담       당</t>
        </is>
      </c>
      <c r="AD8" s="14" t="inlineStr"/>
      <c r="AK8" s="13" t="inlineStr">
        <is>
          <t>전    화</t>
        </is>
      </c>
      <c r="AN8" s="19" t="inlineStr"/>
    </row>
    <row r="9" ht="24.9" customHeight="1">
      <c r="A9" s="20" t="n"/>
      <c r="B9" s="21" t="n"/>
      <c r="C9" s="22" t="inlineStr">
        <is>
          <t>아래와 같이 견적 드립니다.</t>
        </is>
      </c>
      <c r="W9" s="23" t="inlineStr">
        <is>
          <t>업       태</t>
        </is>
      </c>
      <c r="AD9" s="24" t="inlineStr">
        <is>
          <t>제조업, 판매업, 설계업, 통신판매업</t>
        </is>
      </c>
    </row>
    <row r="10" ht="37.5" customHeight="1">
      <c r="C10" s="25" t="inlineStr">
        <is>
          <t>(공급가액+세액)</t>
        </is>
      </c>
      <c r="M10" s="26" t="inlineStr">
        <is>
          <t>원</t>
        </is>
      </c>
      <c r="O10" s="27">
        <f>AN10</f>
        <v/>
      </c>
      <c r="AI10" s="26" t="inlineStr">
        <is>
          <t>원</t>
        </is>
      </c>
      <c r="AK10" s="26" t="inlineStr">
        <is>
          <t>( \</t>
        </is>
      </c>
      <c r="AL10" s="28" t="n"/>
      <c r="AM10" s="28" t="n"/>
      <c r="AN10" s="29">
        <f>AC41+AN41</f>
        <v/>
      </c>
      <c r="AV10" s="30" t="inlineStr">
        <is>
          <t>)</t>
        </is>
      </c>
    </row>
    <row r="11" ht="12.9" customHeight="1">
      <c r="A11" s="31" t="inlineStr">
        <is>
          <t>품  목  명</t>
        </is>
      </c>
      <c r="N11" s="32" t="inlineStr">
        <is>
          <t>단 위</t>
        </is>
      </c>
      <c r="R11" s="32" t="inlineStr">
        <is>
          <t>수 량</t>
        </is>
      </c>
      <c r="U11" s="32" t="inlineStr">
        <is>
          <t>단 가</t>
        </is>
      </c>
      <c r="AC11" s="33" t="inlineStr">
        <is>
          <t>공  급  가  액</t>
        </is>
      </c>
      <c r="AN11" s="33" t="inlineStr">
        <is>
          <t>세 액</t>
        </is>
      </c>
    </row>
    <row r="12" ht="12.9" customHeight="1"/>
    <row r="13" ht="18" customHeight="1">
      <c r="A13" s="34" t="n"/>
      <c r="N13" s="13" t="n"/>
      <c r="R13" s="35" t="n"/>
      <c r="U13" s="36" t="n"/>
      <c r="AC13" s="37">
        <f>IF(R13*U13=0,"",R13*U13)</f>
        <v/>
      </c>
      <c r="AN13" s="37">
        <f>IF(AC13="","",ROUND(AC13*0.1,0))</f>
        <v/>
      </c>
    </row>
    <row r="14" ht="18" customHeight="1">
      <c r="A14" s="34" t="n"/>
      <c r="N14" s="13" t="n"/>
      <c r="R14" s="35" t="n"/>
      <c r="U14" s="36" t="n"/>
      <c r="AC14" s="37">
        <f>IF(R14*U14=0,"",R14*U14)</f>
        <v/>
      </c>
      <c r="AN14" s="37">
        <f>IF(AC14="","",ROUND(AC14*0.1,0))</f>
        <v/>
      </c>
    </row>
    <row r="15" ht="18" customHeight="1">
      <c r="A15" s="34" t="n"/>
      <c r="N15" s="13" t="n"/>
      <c r="R15" s="35" t="n"/>
      <c r="U15" s="36" t="n"/>
      <c r="AC15" s="37">
        <f>IF(R15*U15=0,"",R15*U15)</f>
        <v/>
      </c>
      <c r="AN15" s="37">
        <f>IF(AC15="","",ROUND(AC15*0.1,0))</f>
        <v/>
      </c>
    </row>
    <row r="16" ht="18" customHeight="1">
      <c r="A16" s="34" t="n"/>
      <c r="N16" s="13" t="n"/>
      <c r="R16" s="35" t="n"/>
      <c r="U16" s="36" t="n"/>
      <c r="AC16" s="37">
        <f>IF(R16*U16=0,"",R16*U16)</f>
        <v/>
      </c>
      <c r="AN16" s="37">
        <f>IF(AC16="","",ROUND(AC16*0.1,0))</f>
        <v/>
      </c>
    </row>
    <row r="17" ht="18" customHeight="1">
      <c r="A17" s="34" t="n"/>
      <c r="N17" s="13" t="n"/>
      <c r="R17" s="35" t="n"/>
      <c r="U17" s="36" t="n"/>
      <c r="AC17" s="37">
        <f>IF(R17*U17=0,"",R17*U17)</f>
        <v/>
      </c>
      <c r="AN17" s="37">
        <f>IF(AC17="","",ROUND(AC17*0.1,0))</f>
        <v/>
      </c>
    </row>
    <row r="18" ht="18" customHeight="1">
      <c r="A18" s="34" t="n"/>
      <c r="N18" s="13" t="n"/>
      <c r="R18" s="35" t="n"/>
      <c r="U18" s="36" t="n"/>
      <c r="AC18" s="37">
        <f>IF(R18*U18=0,"",R18*U18)</f>
        <v/>
      </c>
      <c r="AN18" s="37">
        <f>IF(AC18="","",ROUND(AC18*0.1,0))</f>
        <v/>
      </c>
    </row>
    <row r="19" ht="18" customHeight="1">
      <c r="A19" s="34" t="n"/>
      <c r="N19" s="13" t="n"/>
      <c r="R19" s="35" t="n"/>
      <c r="U19" s="36" t="n"/>
      <c r="AC19" s="37">
        <f>IF(R19*U19=0,"",R19*U19)</f>
        <v/>
      </c>
      <c r="AN19" s="37">
        <f>IF(AC19="","",ROUND(AC19*0.1,0))</f>
        <v/>
      </c>
    </row>
    <row r="20" ht="18" customHeight="1">
      <c r="A20" s="34" t="n"/>
      <c r="N20" s="13" t="n"/>
      <c r="R20" s="35" t="n"/>
      <c r="U20" s="36" t="n"/>
      <c r="AC20" s="37">
        <f>IF(R20*U20=0,"",R20*U20)</f>
        <v/>
      </c>
      <c r="AN20" s="37">
        <f>IF(AC20="","",ROUND(AC20*0.1,0))</f>
        <v/>
      </c>
    </row>
    <row r="21" ht="18" customHeight="1">
      <c r="A21" s="34" t="n"/>
      <c r="N21" s="13" t="n"/>
      <c r="R21" s="35" t="n"/>
      <c r="U21" s="36" t="n"/>
      <c r="AC21" s="37">
        <f>IF(R21*U21=0,"",R21*U21)</f>
        <v/>
      </c>
      <c r="AN21" s="37">
        <f>IF(AC21="","",ROUND(AC21*0.1,0))</f>
        <v/>
      </c>
    </row>
    <row r="22" ht="18" customHeight="1">
      <c r="A22" s="34" t="n"/>
      <c r="N22" s="13" t="n"/>
      <c r="R22" s="35" t="n"/>
      <c r="U22" s="36" t="n"/>
      <c r="AC22" s="37">
        <f>IF(R22*U22=0,"",R22*U22)</f>
        <v/>
      </c>
      <c r="AN22" s="37">
        <f>IF(AC22="","",ROUND(AC22*0.1,0))</f>
        <v/>
      </c>
    </row>
    <row r="23" ht="18" customHeight="1">
      <c r="A23" s="34" t="n"/>
      <c r="N23" s="13" t="n"/>
      <c r="R23" s="35" t="n"/>
      <c r="U23" s="36" t="n"/>
      <c r="AC23" s="37">
        <f>IF(R23*U23=0,"",R23*U23)</f>
        <v/>
      </c>
      <c r="AN23" s="37">
        <f>IF(AC23="","",ROUND(AC23*0.1,0))</f>
        <v/>
      </c>
    </row>
    <row r="24" ht="18" customHeight="1">
      <c r="A24" s="34" t="n"/>
      <c r="N24" s="13" t="n"/>
      <c r="R24" s="35" t="n"/>
      <c r="U24" s="36" t="n"/>
      <c r="AC24" s="37">
        <f>IF(R24*U24=0,"",R24*U24)</f>
        <v/>
      </c>
      <c r="AN24" s="37">
        <f>IF(AC24="","",ROUND(AC24*0.1,0))</f>
        <v/>
      </c>
    </row>
    <row r="25" ht="18" customHeight="1">
      <c r="A25" s="34" t="n"/>
      <c r="N25" s="13" t="n"/>
      <c r="R25" s="35" t="n"/>
      <c r="U25" s="36" t="n"/>
      <c r="AC25" s="37">
        <f>IF(R25*U25=0,"",R25*U25)</f>
        <v/>
      </c>
      <c r="AN25" s="37">
        <f>IF(AC25="","",ROUND(AC25*0.1,0))</f>
        <v/>
      </c>
    </row>
    <row r="26" ht="18" customHeight="1">
      <c r="A26" s="34" t="n"/>
      <c r="N26" s="13" t="n"/>
      <c r="R26" s="35" t="n"/>
      <c r="U26" s="36" t="n"/>
      <c r="AC26" s="37">
        <f>IF(R26*U26=0,"",R26*U26)</f>
        <v/>
      </c>
      <c r="AN26" s="37">
        <f>IF(AC26="","",ROUND(AC26*0.1,0))</f>
        <v/>
      </c>
    </row>
    <row r="27" ht="18" customHeight="1">
      <c r="A27" s="34" t="n"/>
      <c r="N27" s="13" t="n"/>
      <c r="R27" s="35" t="n"/>
      <c r="U27" s="36" t="n"/>
      <c r="AC27" s="37">
        <f>IF(R27*U27=0,"",R27*U27)</f>
        <v/>
      </c>
      <c r="AN27" s="37">
        <f>IF(AC27="","",ROUND(AC27*0.1,0))</f>
        <v/>
      </c>
    </row>
    <row r="28" ht="18" customHeight="1">
      <c r="A28" s="34" t="n"/>
      <c r="N28" s="13" t="n"/>
      <c r="R28" s="35" t="n"/>
      <c r="U28" s="36" t="n"/>
      <c r="AC28" s="37">
        <f>IF(R28*U28=0,"",R28*U28)</f>
        <v/>
      </c>
      <c r="AN28" s="37">
        <f>IF(AC28="","",ROUND(AC28*0.1,0))</f>
        <v/>
      </c>
    </row>
    <row r="29" ht="18" customHeight="1">
      <c r="A29" s="34" t="n"/>
      <c r="N29" s="13" t="n"/>
      <c r="R29" s="35" t="n"/>
      <c r="U29" s="36" t="n"/>
      <c r="AC29" s="37">
        <f>IF(R29*U29=0,"",R29*U29)</f>
        <v/>
      </c>
      <c r="AN29" s="37">
        <f>IF(AC29="","",ROUND(AC29*0.1,0))</f>
        <v/>
      </c>
    </row>
    <row r="30" ht="18" customHeight="1">
      <c r="A30" s="34" t="n"/>
      <c r="N30" s="13" t="n"/>
      <c r="R30" s="35" t="n"/>
      <c r="U30" s="36" t="n"/>
      <c r="AC30" s="37">
        <f>IF(R30*U30=0,"",R30*U30)</f>
        <v/>
      </c>
      <c r="AN30" s="37">
        <f>IF(AC30="","",ROUND(AC30*0.1,0))</f>
        <v/>
      </c>
    </row>
    <row r="31" ht="18" customHeight="1">
      <c r="A31" s="34" t="n"/>
      <c r="N31" s="13" t="n"/>
      <c r="R31" s="35" t="n"/>
      <c r="U31" s="36" t="n"/>
      <c r="AC31" s="37">
        <f>IF(R31*U31=0,"",R31*U31)</f>
        <v/>
      </c>
      <c r="AN31" s="37">
        <f>IF(AC31="","",ROUND(AC31*0.1,0))</f>
        <v/>
      </c>
    </row>
    <row r="32" ht="18" customHeight="1">
      <c r="A32" s="34" t="n"/>
      <c r="N32" s="13" t="n"/>
      <c r="R32" s="35" t="n"/>
      <c r="U32" s="36" t="n"/>
      <c r="AC32" s="37">
        <f>IF(R32*U32=0,"",R32*U32)</f>
        <v/>
      </c>
      <c r="AN32" s="37">
        <f>IF(AC32="","",ROUND(AC32*0.1,0))</f>
        <v/>
      </c>
    </row>
    <row r="33" ht="18" customHeight="1">
      <c r="A33" s="34" t="n"/>
      <c r="N33" s="13" t="n"/>
      <c r="R33" s="35" t="n"/>
      <c r="U33" s="36" t="n"/>
      <c r="AC33" s="37">
        <f>IF(R33*U33=0,"",R33*U33)</f>
        <v/>
      </c>
      <c r="AN33" s="37">
        <f>IF(AC33="","",ROUND(AC33*0.1,0))</f>
        <v/>
      </c>
    </row>
    <row r="34" ht="18" customHeight="1">
      <c r="A34" s="34" t="n"/>
      <c r="N34" s="13" t="n"/>
      <c r="R34" s="35" t="n"/>
      <c r="U34" s="36" t="n"/>
      <c r="AC34" s="37">
        <f>IF(R34*U34=0,"",R34*U34)</f>
        <v/>
      </c>
      <c r="AN34" s="37">
        <f>IF(AC34="","",ROUND(AC34*0.1,0))</f>
        <v/>
      </c>
    </row>
    <row r="35" ht="18" customHeight="1">
      <c r="A35" s="34" t="n"/>
      <c r="N35" s="13" t="n"/>
      <c r="R35" s="35" t="n"/>
      <c r="U35" s="36" t="n"/>
      <c r="AC35" s="37">
        <f>IF(R35*U35=0,"",R35*U35)</f>
        <v/>
      </c>
      <c r="AN35" s="37">
        <f>IF(AC35="","",ROUND(AC35*0.1,0))</f>
        <v/>
      </c>
    </row>
    <row r="36" ht="18" customHeight="1">
      <c r="A36" s="34" t="n"/>
      <c r="N36" s="13" t="n"/>
      <c r="R36" s="35" t="n"/>
      <c r="U36" s="36" t="n"/>
      <c r="AC36" s="37">
        <f>IF(R36*U36=0,"",R36*U36)</f>
        <v/>
      </c>
      <c r="AN36" s="37">
        <f>IF(AC36="","",ROUND(AC36*0.1,0))</f>
        <v/>
      </c>
    </row>
    <row r="37" ht="18" customHeight="1">
      <c r="A37" s="34" t="n"/>
      <c r="N37" s="13" t="n"/>
      <c r="R37" s="35" t="n"/>
      <c r="U37" s="36" t="n"/>
      <c r="AC37" s="37">
        <f>IF(R37*U37=0,"",R37*U37)</f>
        <v/>
      </c>
      <c r="AN37" s="37">
        <f>IF(AC37="","",ROUND(AC37*0.1,0))</f>
        <v/>
      </c>
    </row>
    <row r="38" ht="18" customHeight="1">
      <c r="A38" s="34" t="n"/>
      <c r="N38" s="13" t="n"/>
      <c r="R38" s="35" t="n"/>
      <c r="U38" s="36" t="n"/>
      <c r="AC38" s="37">
        <f>IF(R38*U38=0,"",R38*U38)</f>
        <v/>
      </c>
      <c r="AN38" s="37">
        <f>IF(AC38="","",ROUND(AC38*0.1,0))</f>
        <v/>
      </c>
    </row>
    <row r="39" ht="18" customHeight="1">
      <c r="A39" s="34" t="n"/>
      <c r="N39" s="13" t="n"/>
      <c r="R39" s="35" t="n"/>
      <c r="U39" s="36" t="n"/>
      <c r="AC39" s="37">
        <f>IF(R39*U39=0,"",R39*U39)</f>
        <v/>
      </c>
      <c r="AN39" s="37">
        <f>IF(AC39="","",ROUND(AC39*0.1,0))</f>
        <v/>
      </c>
    </row>
    <row r="40" ht="18" customHeight="1">
      <c r="A40" s="34" t="n"/>
      <c r="N40" s="13" t="n"/>
      <c r="R40" s="35" t="n"/>
      <c r="U40" s="36" t="n"/>
      <c r="AC40" s="37">
        <f>IF(R40*U40=0,"",R40*U40)</f>
        <v/>
      </c>
      <c r="AN40" s="37">
        <f>IF(AC40="","",ROUND(AC40*0.1,0))</f>
        <v/>
      </c>
    </row>
    <row r="41" ht="31.5" customHeight="1">
      <c r="A41" s="38" t="inlineStr">
        <is>
          <t>합       계</t>
        </is>
      </c>
      <c r="N41" s="39" t="n"/>
      <c r="R41" s="39" t="n"/>
      <c r="U41" s="39" t="n"/>
      <c r="AC41" s="40">
        <f>SUM(AC13:AC40)</f>
        <v/>
      </c>
      <c r="AN41" s="40">
        <f>SUM(AN13:AN40)</f>
        <v/>
      </c>
    </row>
    <row r="42" ht="18" customHeight="1">
      <c r="B42" s="41" t="inlineStr">
        <is>
          <t>※ 상기 금액은 부가세(VAT 10%) 포함 금액입니다. 납품 조건 및 결제 방법은 협의 후 결정합니다.</t>
        </is>
      </c>
    </row>
    <row r="43" ht="18" customHeight="1">
      <c r="B43" s="41" t="inlineStr">
        <is>
          <t>※ 제품 사양 및 가격은 사전 예고 없이 변경될 수 있습니다. 문의: 담당자에게 연락 주시기 바랍니다.</t>
        </is>
      </c>
    </row>
  </sheetData>
  <mergeCells count="212">
    <mergeCell ref="AN20:AV20"/>
    <mergeCell ref="AN29:AV29"/>
    <mergeCell ref="A32:M32"/>
    <mergeCell ref="R27:T27"/>
    <mergeCell ref="U34:AB34"/>
    <mergeCell ref="R36:T36"/>
    <mergeCell ref="AC32:AM32"/>
    <mergeCell ref="N34:Q34"/>
    <mergeCell ref="AN6:AU6"/>
    <mergeCell ref="AN22:AV22"/>
    <mergeCell ref="A29:M29"/>
    <mergeCell ref="AN31:AV31"/>
    <mergeCell ref="A38:M38"/>
    <mergeCell ref="R20:T20"/>
    <mergeCell ref="U27:AB27"/>
    <mergeCell ref="U36:AB36"/>
    <mergeCell ref="A13:M13"/>
    <mergeCell ref="N27:Q27"/>
    <mergeCell ref="U30:AB30"/>
    <mergeCell ref="AN21:AV21"/>
    <mergeCell ref="N36:Q36"/>
    <mergeCell ref="R11:T12"/>
    <mergeCell ref="U17:AB17"/>
    <mergeCell ref="A31:M31"/>
    <mergeCell ref="U35:AB35"/>
    <mergeCell ref="M10:N10"/>
    <mergeCell ref="A40:M40"/>
    <mergeCell ref="R22:T22"/>
    <mergeCell ref="N20:Q20"/>
    <mergeCell ref="AC24:AM24"/>
    <mergeCell ref="AD8:AJ8"/>
    <mergeCell ref="AN14:AV14"/>
    <mergeCell ref="A15:M15"/>
    <mergeCell ref="AC33:AM33"/>
    <mergeCell ref="AN23:AV23"/>
    <mergeCell ref="A24:M24"/>
    <mergeCell ref="W6:AC6"/>
    <mergeCell ref="N22:Q22"/>
    <mergeCell ref="AC26:AM26"/>
    <mergeCell ref="AC35:AM35"/>
    <mergeCell ref="R14:T14"/>
    <mergeCell ref="R23:T23"/>
    <mergeCell ref="AC19:AM19"/>
    <mergeCell ref="AC25:AM25"/>
    <mergeCell ref="A41:M41"/>
    <mergeCell ref="A16:M16"/>
    <mergeCell ref="R38:T38"/>
    <mergeCell ref="B43:AU43"/>
    <mergeCell ref="N14:Q14"/>
    <mergeCell ref="A27:M27"/>
    <mergeCell ref="AN33:AV33"/>
    <mergeCell ref="K5:M5"/>
    <mergeCell ref="A18:M18"/>
    <mergeCell ref="W7:AC7"/>
    <mergeCell ref="U38:AB38"/>
    <mergeCell ref="P1:AJ3"/>
    <mergeCell ref="R40:T40"/>
    <mergeCell ref="B42:AU42"/>
    <mergeCell ref="N38:Q38"/>
    <mergeCell ref="AN10:AU10"/>
    <mergeCell ref="U5:V9"/>
    <mergeCell ref="A33:M33"/>
    <mergeCell ref="AN35:AV35"/>
    <mergeCell ref="R24:T24"/>
    <mergeCell ref="U26:AB26"/>
    <mergeCell ref="U40:AB40"/>
    <mergeCell ref="N31:Q31"/>
    <mergeCell ref="AK5:AM5"/>
    <mergeCell ref="AN25:AV25"/>
    <mergeCell ref="A22:M22"/>
    <mergeCell ref="N40:Q40"/>
    <mergeCell ref="A35:M35"/>
    <mergeCell ref="W8:AC8"/>
    <mergeCell ref="R26:T26"/>
    <mergeCell ref="N24:Q24"/>
    <mergeCell ref="R35:T35"/>
    <mergeCell ref="A20:M20"/>
    <mergeCell ref="AC37:AM37"/>
    <mergeCell ref="A28:M28"/>
    <mergeCell ref="AC13:AM13"/>
    <mergeCell ref="N26:Q26"/>
    <mergeCell ref="N35:Q35"/>
    <mergeCell ref="R17:T17"/>
    <mergeCell ref="U16:AB16"/>
    <mergeCell ref="A30:M30"/>
    <mergeCell ref="AC15:AM15"/>
    <mergeCell ref="U25:AB25"/>
    <mergeCell ref="N16:Q16"/>
    <mergeCell ref="AD9:AV9"/>
    <mergeCell ref="AC23:AM23"/>
    <mergeCell ref="N25:Q25"/>
    <mergeCell ref="AN39:AV39"/>
    <mergeCell ref="AK8:AM8"/>
    <mergeCell ref="W5:AC5"/>
    <mergeCell ref="AN38:AV38"/>
    <mergeCell ref="U28:AB28"/>
    <mergeCell ref="AN13:AV13"/>
    <mergeCell ref="R39:T39"/>
    <mergeCell ref="C10:L10"/>
    <mergeCell ref="U11:AB12"/>
    <mergeCell ref="AN40:AV40"/>
    <mergeCell ref="N11:Q12"/>
    <mergeCell ref="R29:T29"/>
    <mergeCell ref="U39:AB39"/>
    <mergeCell ref="AN15:AV15"/>
    <mergeCell ref="AN24:AV24"/>
    <mergeCell ref="N39:Q39"/>
    <mergeCell ref="C7:P7"/>
    <mergeCell ref="R13:T13"/>
    <mergeCell ref="U20:AB20"/>
    <mergeCell ref="A26:M26"/>
    <mergeCell ref="U14:AB14"/>
    <mergeCell ref="U29:AB29"/>
    <mergeCell ref="U23:AB23"/>
    <mergeCell ref="R31:T31"/>
    <mergeCell ref="AC27:AM27"/>
    <mergeCell ref="N29:Q29"/>
    <mergeCell ref="E2:N2"/>
    <mergeCell ref="AC36:AM36"/>
    <mergeCell ref="AN26:AV26"/>
    <mergeCell ref="R15:T15"/>
    <mergeCell ref="U22:AB22"/>
    <mergeCell ref="N13:Q13"/>
    <mergeCell ref="AC17:AM17"/>
    <mergeCell ref="U31:AB31"/>
    <mergeCell ref="R37:T37"/>
    <mergeCell ref="AN41:AV41"/>
    <mergeCell ref="AN16:AV16"/>
    <mergeCell ref="A17:M17"/>
    <mergeCell ref="U15:AB15"/>
    <mergeCell ref="R21:T21"/>
    <mergeCell ref="N15:Q15"/>
    <mergeCell ref="AC28:AM28"/>
    <mergeCell ref="A19:M19"/>
    <mergeCell ref="R41:T41"/>
    <mergeCell ref="G5:I5"/>
    <mergeCell ref="A34:M34"/>
    <mergeCell ref="AC30:AM30"/>
    <mergeCell ref="U32:AB32"/>
    <mergeCell ref="A39:M39"/>
    <mergeCell ref="U41:AB41"/>
    <mergeCell ref="N32:Q32"/>
    <mergeCell ref="AC39:AM39"/>
    <mergeCell ref="AK6:AM6"/>
    <mergeCell ref="AC14:AM14"/>
    <mergeCell ref="N41:Q41"/>
    <mergeCell ref="A36:M36"/>
    <mergeCell ref="R33:T33"/>
    <mergeCell ref="AC29:AM29"/>
    <mergeCell ref="AN19:AV19"/>
    <mergeCell ref="AC38:AM38"/>
    <mergeCell ref="AN28:AV28"/>
    <mergeCell ref="U24:AB24"/>
    <mergeCell ref="AN37:AV37"/>
    <mergeCell ref="U18:AB18"/>
    <mergeCell ref="U33:AB33"/>
    <mergeCell ref="AD6:AJ6"/>
    <mergeCell ref="N18:Q18"/>
    <mergeCell ref="AC31:AM31"/>
    <mergeCell ref="N33:Q33"/>
    <mergeCell ref="AC40:AM40"/>
    <mergeCell ref="AN30:AV30"/>
    <mergeCell ref="A37:M37"/>
    <mergeCell ref="R19:T19"/>
    <mergeCell ref="N17:Q17"/>
    <mergeCell ref="AC21:AM21"/>
    <mergeCell ref="R28:T28"/>
    <mergeCell ref="A21:M21"/>
    <mergeCell ref="U19:AB19"/>
    <mergeCell ref="R25:T25"/>
    <mergeCell ref="N19:Q19"/>
    <mergeCell ref="R30:T30"/>
    <mergeCell ref="A14:M14"/>
    <mergeCell ref="N28:Q28"/>
    <mergeCell ref="AC41:AM41"/>
    <mergeCell ref="A23:M23"/>
    <mergeCell ref="W9:AC9"/>
    <mergeCell ref="AC16:AM16"/>
    <mergeCell ref="AN32:AV32"/>
    <mergeCell ref="AI10:AJ10"/>
    <mergeCell ref="C9:T9"/>
    <mergeCell ref="O10:AH10"/>
    <mergeCell ref="N30:Q30"/>
    <mergeCell ref="AD7:AV7"/>
    <mergeCell ref="AC18:AM18"/>
    <mergeCell ref="R32:T32"/>
    <mergeCell ref="AN18:AV18"/>
    <mergeCell ref="AN27:AV27"/>
    <mergeCell ref="AC11:AM12"/>
    <mergeCell ref="AN8:AV8"/>
    <mergeCell ref="U37:AB37"/>
    <mergeCell ref="AN17:AV17"/>
    <mergeCell ref="AD5:AJ5"/>
    <mergeCell ref="U13:AB13"/>
    <mergeCell ref="N37:Q37"/>
    <mergeCell ref="C2:D2"/>
    <mergeCell ref="U21:AB21"/>
    <mergeCell ref="AC20:AM20"/>
    <mergeCell ref="R18:T18"/>
    <mergeCell ref="N21:Q21"/>
    <mergeCell ref="AC34:AM34"/>
    <mergeCell ref="A25:M25"/>
    <mergeCell ref="AC22:AM22"/>
    <mergeCell ref="AN34:AV34"/>
    <mergeCell ref="N23:Q23"/>
    <mergeCell ref="C5:E5"/>
    <mergeCell ref="AN11:AV12"/>
    <mergeCell ref="AN5:AV5"/>
    <mergeCell ref="AN36:AV36"/>
    <mergeCell ref="R34:T34"/>
    <mergeCell ref="R16:T16"/>
    <mergeCell ref="A11:M12"/>
  </mergeCells>
  <pageMargins left="0.39" right="0.39" top="0.47" bottom="0.39" header="0.2" footer="0.2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2026-04-21T00:28:19Z</dcterms:created>
  <dcterms:modified xmlns:dcterms="http://purl.org/dc/terms/" xmlns:xsi="http://www.w3.org/2001/XMLSchema-instance" xsi:type="dcterms:W3CDTF">2026-04-21T00:28:19Z</dcterms:modified>
</cp:coreProperties>
</file>